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<sst xmlns="http://schemas.openxmlformats.org/spreadsheetml/2006/main" count="171" uniqueCount="127">
  <si>
    <t xml:space="preserve">Softub Electronics Conversion – Bill of Materials</t>
  </si>
  <si>
    <t xml:space="preserve">Based on actual orders (Ricardo/Galaxus/AliExpress) · Rev 6 · 2026 · Prices as ordered (CHF/EUR converted ~0.96)</t>
  </si>
  <si>
    <t xml:space="preserve">No.</t>
  </si>
  <si>
    <t xml:space="preserve">Component</t>
  </si>
  <si>
    <t xml:space="preserve">Model / Type</t>
  </si>
  <si>
    <t xml:space="preserve">Qty</t>
  </si>
  <si>
    <t xml:space="preserve">Unit Price (CHF)</t>
  </si>
  <si>
    <t xml:space="preserve">Total (CHF)</t>
  </si>
  <si>
    <t xml:space="preserve">Source</t>
  </si>
  <si>
    <t xml:space="preserve">Order Date</t>
  </si>
  <si>
    <t xml:space="preserve">Control &amp; Smart Home</t>
  </si>
  <si>
    <t xml:space="preserve">Smart relay with temperature sensor input</t>
  </si>
  <si>
    <t xml:space="preserve">Sonoff TH16A</t>
  </si>
  <si>
    <t xml:space="preserve">see note</t>
  </si>
  <si>
    <t xml:space="preserve">earlier order (already owned)</t>
  </si>
  <si>
    <t xml:space="preserve">0-10V dimmer controller (WiFi)</t>
  </si>
  <si>
    <t xml:space="preserve">Shelly Dimmer 0/1-10V PM Gen3</t>
  </si>
  <si>
    <t xml:space="preserve">Galaxus</t>
  </si>
  <si>
    <t xml:space="preserve">20.6.2026</t>
  </si>
  <si>
    <t xml:space="preserve">0-10V dimmer controller (WiFi, 2nd unit)</t>
  </si>
  <si>
    <t xml:space="preserve">Shelly Plus 0-10V dimmer</t>
  </si>
  <si>
    <t xml:space="preserve">Galaxus (combined order 190460871)</t>
  </si>
  <si>
    <t xml:space="preserve">2.6.2026</t>
  </si>
  <si>
    <t xml:space="preserve">Power controller 0-10V → 230V</t>
  </si>
  <si>
    <t xml:space="preserve">Kemo Power regulator M240</t>
  </si>
  <si>
    <t xml:space="preserve">Galaxus (combined order)</t>
  </si>
  <si>
    <t xml:space="preserve">Subtotal Control &amp; Smart Home</t>
  </si>
  <si>
    <t xml:space="preserve">Water Analysis &amp; Sensors</t>
  </si>
  <si>
    <t xml:space="preserve">8-in-1 water analysis sensor, WiFi</t>
  </si>
  <si>
    <t xml:space="preserve">Tuya W218 (pH/ORP/TDS + temp on Kemo)</t>
  </si>
  <si>
    <t xml:space="preserve">AliExpress – JUANJUAN Topcentre Store</t>
  </si>
  <si>
    <t xml:space="preserve">10.4.2026</t>
  </si>
  <si>
    <t xml:space="preserve">pH replacement probe</t>
  </si>
  <si>
    <t xml:space="preserve">PH-201H, 2m cable</t>
  </si>
  <si>
    <t xml:space="preserve">AliExpress – Digital Dropsipping Store</t>
  </si>
  <si>
    <t xml:space="preserve">23.5.2026</t>
  </si>
  <si>
    <t xml:space="preserve">ORP probe</t>
  </si>
  <si>
    <t xml:space="preserve">precision, wide range, 2m</t>
  </si>
  <si>
    <t xml:space="preserve">AliExpress – ElectroFlex Hub Store</t>
  </si>
  <si>
    <t xml:space="preserve">pH calibration buffer kit</t>
  </si>
  <si>
    <t xml:space="preserve">50ml, 4-piece (pH4/7/10 + cleaning)</t>
  </si>
  <si>
    <t xml:space="preserve">AliExpress – yieryi Offical Store</t>
  </si>
  <si>
    <t xml:space="preserve">BNC extension cable</t>
  </si>
  <si>
    <t xml:space="preserve">RG174, BNC M to BNC F, 1m</t>
  </si>
  <si>
    <t xml:space="preserve">AliExpress – RFDOTOP RF Attenuator Store</t>
  </si>
  <si>
    <t xml:space="preserve">Subtotal Water Analysis &amp; Sensors</t>
  </si>
  <si>
    <t xml:space="preserve">Electrical &amp; Wiring</t>
  </si>
  <si>
    <t xml:space="preserve">Pump start capacitor</t>
  </si>
  <si>
    <t xml:space="preserve">CBB60 450V 20µF, 38x75mm</t>
  </si>
  <si>
    <t xml:space="preserve">AliExpress – Chuangbo Store (combined order)</t>
  </si>
  <si>
    <t xml:space="preserve">7.4.2026</t>
  </si>
  <si>
    <t xml:space="preserve">Terminal block</t>
  </si>
  <si>
    <t xml:space="preserve">TB-1506 15A 600V, 1in 3out</t>
  </si>
  <si>
    <t xml:space="preserve">AliExpress – Dealhola decor Store</t>
  </si>
  <si>
    <t xml:space="preserve">12.4.2026</t>
  </si>
  <si>
    <t xml:space="preserve">Cable gland assortment</t>
  </si>
  <si>
    <t xml:space="preserve">PG7-PG16, 40pcs, black</t>
  </si>
  <si>
    <t xml:space="preserve">AliExpress – XIDA Electric Store</t>
  </si>
  <si>
    <t xml:space="preserve">Control cable LiYY 4x0.25mm² AWG24</t>
  </si>
  <si>
    <t xml:space="preserve">Helukabel, grey, shielded</t>
  </si>
  <si>
    <t xml:space="preserve">14.5.2026</t>
  </si>
  <si>
    <t xml:space="preserve">Sealant / Sista sealing compound</t>
  </si>
  <si>
    <t xml:space="preserve">transparent, indoor use</t>
  </si>
  <si>
    <t xml:space="preserve">Galaxus (combined order with cable)</t>
  </si>
  <si>
    <t xml:space="preserve">Hose clamp assortment</t>
  </si>
  <si>
    <t xml:space="preserve">8-700mm, various sizes, 304 stainless</t>
  </si>
  <si>
    <t xml:space="preserve">AliExpress – Moonlight electric Store</t>
  </si>
  <si>
    <t xml:space="preserve">Wago connector gel box</t>
  </si>
  <si>
    <t xml:space="preserve">Raytech Gel Box Pascal, waterproof</t>
  </si>
  <si>
    <t xml:space="preserve">Wago connectors</t>
  </si>
  <si>
    <t xml:space="preserve">Wago 221, 2/3-way lever connectors</t>
  </si>
  <si>
    <t xml:space="preserve">existing material / local purchase</t>
  </si>
  <si>
    <t xml:space="preserve">Insulation tape</t>
  </si>
  <si>
    <t xml:space="preserve">Toya Band</t>
  </si>
  <si>
    <t xml:space="preserve">Single-core wire, brown (live)</t>
  </si>
  <si>
    <t xml:space="preserve">H07V-K or similar, by the metre</t>
  </si>
  <si>
    <t xml:space="preserve">local electrical supplier</t>
  </si>
  <si>
    <t xml:space="preserve">Single-core wire, blue (neutral)</t>
  </si>
  <si>
    <t xml:space="preserve">Single-core wire, green-yellow (earth)</t>
  </si>
  <si>
    <t xml:space="preserve">Heat shrink tubing set</t>
  </si>
  <si>
    <t xml:space="preserve">various diameters, insulated</t>
  </si>
  <si>
    <t xml:space="preserve">Wire ferrule assortment</t>
  </si>
  <si>
    <t xml:space="preserve">insulated, 0.5–2.5mm², various colours</t>
  </si>
  <si>
    <t xml:space="preserve">Flat spade connector sleeves, 6.3mm</t>
  </si>
  <si>
    <t xml:space="preserve">insulated, Faston assortment</t>
  </si>
  <si>
    <t xml:space="preserve">Subtotal Electrical &amp; Wiring</t>
  </si>
  <si>
    <t xml:space="preserve">Water Care</t>
  </si>
  <si>
    <t xml:space="preserve">Ozone generator 220V, passive (installed)</t>
  </si>
  <si>
    <t xml:space="preserve">FQ-220 spa/pool ozonator, AC220V</t>
  </si>
  <si>
    <t xml:space="preserve">AliExpress – Shop911550028 Store</t>
  </si>
  <si>
    <t xml:space="preserve">Subtotal Water Care</t>
  </si>
  <si>
    <t xml:space="preserve">Tools</t>
  </si>
  <si>
    <t xml:space="preserve">Crimping tool with interchangeable dies</t>
  </si>
  <si>
    <t xml:space="preserve">JX-1601 set (08/10/2546)</t>
  </si>
  <si>
    <t xml:space="preserve">existing material</t>
  </si>
  <si>
    <t xml:space="preserve">Digital multimeter</t>
  </si>
  <si>
    <t xml:space="preserve">UNI-T UT133A</t>
  </si>
  <si>
    <t xml:space="preserve">Wire stripper</t>
  </si>
  <si>
    <t xml:space="preserve">adjustable, 0.5–6mm²</t>
  </si>
  <si>
    <t xml:space="preserve">Cable jacket knife</t>
  </si>
  <si>
    <t xml:space="preserve">for slitting multi-core cable sheath</t>
  </si>
  <si>
    <t xml:space="preserve">Soldering iron + solder</t>
  </si>
  <si>
    <t xml:space="preserve">for tinning + BNC cable joins</t>
  </si>
  <si>
    <t xml:space="preserve">Subtotal Tools</t>
  </si>
  <si>
    <t xml:space="preserve">Mounting &amp; Padding</t>
  </si>
  <si>
    <t xml:space="preserve">Foam / styrofoam offcuts</t>
  </si>
  <si>
    <t xml:space="preserve">padding inside motor housing</t>
  </si>
  <si>
    <t xml:space="preserve">existing material / offcuts</t>
  </si>
  <si>
    <t xml:space="preserve">Subtotal Mounting &amp; Padding</t>
  </si>
  <si>
    <t xml:space="preserve">Backup / Spares (not installed)</t>
  </si>
  <si>
    <t xml:space="preserve">WLAN switching actuator</t>
  </si>
  <si>
    <t xml:space="preserve">Sonoff Basic type</t>
  </si>
  <si>
    <t xml:space="preserve">5.4.2026</t>
  </si>
  <si>
    <t xml:space="preserve">Waterproof temperature sensor, RJ9</t>
  </si>
  <si>
    <t xml:space="preserve">Sonoff WTS01, 1.5m</t>
  </si>
  <si>
    <t xml:space="preserve">Subtotal Backup / Spares (not installed)</t>
  </si>
  <si>
    <t xml:space="preserve">GRAND TOTAL (known prices)</t>
  </si>
  <si>
    <t xml:space="preserve">Notes:</t>
  </si>
  <si>
    <t xml:space="preserve">• 'see note' under unit price = item was part of a combined order without an itemised price in the screenshot, purchased before this record period, or sourced locally/in cash (single-core wires, heat shrink, foam).</t>
  </si>
  <si>
    <t xml:space="preserve">• EUR prices (AliExpress) were converted to CHF at a rate of ~0.96 – indicative only, not for accounting purposes.</t>
  </si>
  <si>
    <t xml:space="preserve">• Ozonator installed: FQ-220 (cheaper variant, €15.30). The more expensive FQ-220SPA variant was NOT used.</t>
  </si>
  <si>
    <t xml:space="preserve">• 'Backup / Spares' = Sonoff Basic + WTS01 acquired as a replacement for TH16A, not permanently installed. Sonoff IP66 enclosure is NOT used (no room in the motor housing).</t>
  </si>
  <si>
    <t xml:space="preserve">• Tuya W218 water analyser operates as a standalone device with a direct 230V tap from the terminal block, independent of the TH16A circuit.</t>
  </si>
  <si>
    <t xml:space="preserve">• The Tuya W218 temperature probe is NOT in the water – it is mounted on the Kemo M240 housing to monitor operating temperature. The pH/ORP/TDS probes remain in the pool water.</t>
  </si>
  <si>
    <t xml:space="preserve">• The ozonator runs permanently together with the pump (switched via TH16A) – no separate Sonoff Mini is installed for the ozonator.</t>
  </si>
  <si>
    <t xml:space="preserve">• Wago 221 lever connectors are used in addition to the Raytech gel boxes (221 for dry connections, gel box for moisture-exposed points).</t>
  </si>
  <si>
    <t xml:space="preserve">• Quantities/lengths for single-core wire and heat shrink tubing are unknown – add if needed.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</si>
</sst>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8.5"/>
      <color rgb="FF777777"/>
      <name val="Arial"/>
      <family val="0"/>
      <charset val="1"/>
    </font>
    <font>
      <i val="true"/>
      <sz val="8.5"/>
      <color rgb="FF77777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08800"/>
        <bgColor rgb="FFFF6600"/>
      </patternFill>
    </fill>
    <fill>
      <patternFill patternType="solid">
        <fgColor rgb="FFC87DD6"/>
        <bgColor rgb="FFFF99CC"/>
      </patternFill>
    </fill>
    <fill>
      <patternFill patternType="solid">
        <fgColor rgb="FF3A6BD6"/>
        <bgColor rgb="FF0066CC"/>
      </patternFill>
    </fill>
    <fill>
      <patternFill patternType="solid">
        <fgColor rgb="FF0E9E8A"/>
        <bgColor rgb="FF008080"/>
      </patternFill>
    </fill>
    <fill>
      <patternFill patternType="solid">
        <fgColor rgb="FF8B5CF6"/>
        <bgColor rgb="FFC87DD6"/>
      </patternFill>
    </fill>
    <fill>
      <patternFill patternType="solid">
        <fgColor rgb="FFA0826D"/>
        <bgColor rgb="FF888888"/>
      </patternFill>
    </fill>
    <fill>
      <patternFill patternType="solid">
        <fgColor rgb="FF999999"/>
        <bgColor rgb="FF888888"/>
      </patternFill>
    </fill>
    <fill>
      <patternFill patternType="solid">
        <fgColor rgb="FFFFF3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826D"/>
      <rgbColor rgb="FF800080"/>
      <rgbColor rgb="FF008080"/>
      <rgbColor rgb="FFC0C0C0"/>
      <rgbColor rgb="FF888888"/>
      <rgbColor rgb="FF8B5CF6"/>
      <rgbColor rgb="FF993366"/>
      <rgbColor rgb="FFFFF3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87DD6"/>
      <rgbColor rgb="FFFFCC99"/>
      <rgbColor rgb="FF3A6BD6"/>
      <rgbColor rgb="FF33CCCC"/>
      <rgbColor rgb="FF99CC00"/>
      <rgbColor rgb="FFFFCC00"/>
      <rgbColor rgb="FFE08800"/>
      <rgbColor rgb="FFFF6600"/>
      <rgbColor rgb="FF777777"/>
      <rgbColor rgb="FF999999"/>
      <rgbColor rgb="FF003366"/>
      <rgbColor rgb="FF0E9E8A"/>
      <rgbColor rgb="FF003300"/>
      <rgbColor rgb="FF333300"/>
      <rgbColor rgb="FF993300"/>
      <rgbColor rgb="FF993366"/>
      <rgbColor rgb="FF555555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n">
        <v>1</v>
      </c>
      <c r="B6" s="6" t="s">
        <v>11</v>
      </c>
      <c r="C6" s="6" t="s">
        <v>12</v>
      </c>
      <c r="D6" s="5" t="n">
        <v>1</v>
      </c>
      <c r="E6" s="7" t="s">
        <v>13</v>
      </c>
      <c r="F6" s="8" t="n">
        <v>0</v>
      </c>
      <c r="G6" s="6" t="s">
        <v>14</v>
      </c>
      <c r="H6" s="5"/>
    </row>
    <row r="7" customFormat="false" ht="15" hidden="false" customHeight="false" outlineLevel="0" collapsed="false">
      <c r="A7" s="5" t="n">
        <v>2</v>
      </c>
      <c r="B7" s="6" t="s">
        <v>15</v>
      </c>
      <c r="C7" s="6" t="s">
        <v>16</v>
      </c>
      <c r="D7" s="5" t="n">
        <v>1</v>
      </c>
      <c r="E7" s="9" t="n">
        <v>21.6</v>
      </c>
      <c r="F7" s="8" t="n">
        <f aca="false">D7*E7</f>
        <v>21.6</v>
      </c>
      <c r="G7" s="6" t="s">
        <v>17</v>
      </c>
      <c r="H7" s="5" t="s">
        <v>18</v>
      </c>
    </row>
    <row r="8" customFormat="false" ht="23.85" hidden="false" customHeight="false" outlineLevel="0" collapsed="false">
      <c r="A8" s="5" t="n">
        <v>3</v>
      </c>
      <c r="B8" s="6" t="s">
        <v>19</v>
      </c>
      <c r="C8" s="6" t="s">
        <v>20</v>
      </c>
      <c r="D8" s="5" t="n">
        <v>1</v>
      </c>
      <c r="E8" s="7" t="s">
        <v>13</v>
      </c>
      <c r="F8" s="8" t="n">
        <v>0</v>
      </c>
      <c r="G8" s="6" t="s">
        <v>21</v>
      </c>
      <c r="H8" s="5" t="s">
        <v>22</v>
      </c>
    </row>
    <row r="9" customFormat="false" ht="15" hidden="false" customHeight="false" outlineLevel="0" collapsed="false">
      <c r="A9" s="5" t="n">
        <v>4</v>
      </c>
      <c r="B9" s="6" t="s">
        <v>23</v>
      </c>
      <c r="C9" s="6" t="s">
        <v>24</v>
      </c>
      <c r="D9" s="5" t="n">
        <v>1</v>
      </c>
      <c r="E9" s="7" t="s">
        <v>13</v>
      </c>
      <c r="F9" s="8" t="n">
        <v>0</v>
      </c>
      <c r="G9" s="6" t="s">
        <v>25</v>
      </c>
      <c r="H9" s="5" t="s">
        <v>22</v>
      </c>
    </row>
    <row r="10" customFormat="false" ht="15" hidden="false" customHeight="false" outlineLevel="0" collapsed="false">
      <c r="A10" s="10" t="s">
        <v>26</v>
      </c>
      <c r="B10" s="10"/>
      <c r="C10" s="10"/>
      <c r="D10" s="10"/>
      <c r="E10" s="10"/>
      <c r="F10" s="11" t="n">
        <f aca="false">SUM(F6:F9)</f>
        <v>21.6</v>
      </c>
      <c r="G10" s="12"/>
      <c r="H10" s="12"/>
    </row>
    <row r="12" customFormat="false" ht="15" hidden="false" customHeight="true" outlineLevel="0" collapsed="false">
      <c r="A12" s="13" t="s">
        <v>27</v>
      </c>
      <c r="B12" s="13"/>
      <c r="C12" s="13"/>
      <c r="D12" s="13"/>
      <c r="E12" s="13"/>
      <c r="F12" s="13"/>
      <c r="G12" s="13"/>
      <c r="H12" s="13"/>
    </row>
    <row r="13" customFormat="false" ht="23.85" hidden="false" customHeight="false" outlineLevel="0" collapsed="false">
      <c r="A13" s="5" t="n">
        <v>5</v>
      </c>
      <c r="B13" s="6" t="s">
        <v>28</v>
      </c>
      <c r="C13" s="6" t="s">
        <v>29</v>
      </c>
      <c r="D13" s="5" t="n">
        <v>1</v>
      </c>
      <c r="E13" s="9" t="n">
        <v>61.71</v>
      </c>
      <c r="F13" s="8" t="n">
        <f aca="false">D13*E13</f>
        <v>61.71</v>
      </c>
      <c r="G13" s="6" t="s">
        <v>30</v>
      </c>
      <c r="H13" s="5" t="s">
        <v>31</v>
      </c>
    </row>
    <row r="14" customFormat="false" ht="23.85" hidden="false" customHeight="false" outlineLevel="0" collapsed="false">
      <c r="A14" s="5" t="n">
        <v>6</v>
      </c>
      <c r="B14" s="6" t="s">
        <v>32</v>
      </c>
      <c r="C14" s="6" t="s">
        <v>33</v>
      </c>
      <c r="D14" s="5" t="n">
        <v>1</v>
      </c>
      <c r="E14" s="9" t="n">
        <v>10.65</v>
      </c>
      <c r="F14" s="8" t="n">
        <f aca="false">D14*E14</f>
        <v>10.65</v>
      </c>
      <c r="G14" s="6" t="s">
        <v>34</v>
      </c>
      <c r="H14" s="5" t="s">
        <v>35</v>
      </c>
    </row>
    <row r="15" customFormat="false" ht="15" hidden="false" customHeight="false" outlineLevel="0" collapsed="false">
      <c r="A15" s="5" t="n">
        <v>7</v>
      </c>
      <c r="B15" s="6" t="s">
        <v>36</v>
      </c>
      <c r="C15" s="6" t="s">
        <v>37</v>
      </c>
      <c r="D15" s="5" t="n">
        <v>1</v>
      </c>
      <c r="E15" s="9" t="n">
        <v>18.21</v>
      </c>
      <c r="F15" s="8" t="n">
        <f aca="false">D15*E15</f>
        <v>18.21</v>
      </c>
      <c r="G15" s="6" t="s">
        <v>38</v>
      </c>
      <c r="H15" s="5" t="s">
        <v>35</v>
      </c>
    </row>
    <row r="16" customFormat="false" ht="15" hidden="false" customHeight="false" outlineLevel="0" collapsed="false">
      <c r="A16" s="5" t="n">
        <v>8</v>
      </c>
      <c r="B16" s="6" t="s">
        <v>39</v>
      </c>
      <c r="C16" s="6" t="s">
        <v>40</v>
      </c>
      <c r="D16" s="5" t="n">
        <v>1</v>
      </c>
      <c r="E16" s="9" t="n">
        <v>15.88</v>
      </c>
      <c r="F16" s="8" t="n">
        <f aca="false">D16*E16</f>
        <v>15.88</v>
      </c>
      <c r="G16" s="6" t="s">
        <v>41</v>
      </c>
      <c r="H16" s="5" t="s">
        <v>31</v>
      </c>
    </row>
    <row r="17" customFormat="false" ht="23.85" hidden="false" customHeight="false" outlineLevel="0" collapsed="false">
      <c r="A17" s="5" t="n">
        <v>9</v>
      </c>
      <c r="B17" s="6" t="s">
        <v>42</v>
      </c>
      <c r="C17" s="6" t="s">
        <v>43</v>
      </c>
      <c r="D17" s="5" t="n">
        <v>2</v>
      </c>
      <c r="E17" s="9" t="n">
        <v>6.33</v>
      </c>
      <c r="F17" s="8" t="n">
        <f aca="false">D17*E17</f>
        <v>12.66</v>
      </c>
      <c r="G17" s="6" t="s">
        <v>44</v>
      </c>
      <c r="H17" s="5" t="s">
        <v>35</v>
      </c>
    </row>
    <row r="18" customFormat="false" ht="15" hidden="false" customHeight="false" outlineLevel="0" collapsed="false">
      <c r="A18" s="10" t="s">
        <v>45</v>
      </c>
      <c r="B18" s="10"/>
      <c r="C18" s="10"/>
      <c r="D18" s="10"/>
      <c r="E18" s="10"/>
      <c r="F18" s="11" t="n">
        <f aca="false">SUM(F13:F17)</f>
        <v>119.11</v>
      </c>
      <c r="G18" s="12"/>
      <c r="H18" s="12"/>
    </row>
    <row r="20" customFormat="false" ht="15" hidden="false" customHeight="true" outlineLevel="0" collapsed="false">
      <c r="A20" s="14" t="s">
        <v>46</v>
      </c>
      <c r="B20" s="14"/>
      <c r="C20" s="14"/>
      <c r="D20" s="14"/>
      <c r="E20" s="14"/>
      <c r="F20" s="14"/>
      <c r="G20" s="14"/>
      <c r="H20" s="14"/>
    </row>
    <row r="21" customFormat="false" ht="23.85" hidden="false" customHeight="false" outlineLevel="0" collapsed="false">
      <c r="A21" s="5" t="n">
        <v>10</v>
      </c>
      <c r="B21" s="6" t="s">
        <v>47</v>
      </c>
      <c r="C21" s="6" t="s">
        <v>48</v>
      </c>
      <c r="D21" s="5" t="n">
        <v>1</v>
      </c>
      <c r="E21" s="7" t="s">
        <v>13</v>
      </c>
      <c r="F21" s="8" t="n">
        <v>0</v>
      </c>
      <c r="G21" s="6" t="s">
        <v>49</v>
      </c>
      <c r="H21" s="5" t="s">
        <v>50</v>
      </c>
    </row>
    <row r="22" customFormat="false" ht="15" hidden="false" customHeight="false" outlineLevel="0" collapsed="false">
      <c r="A22" s="5" t="n">
        <v>11</v>
      </c>
      <c r="B22" s="6" t="s">
        <v>51</v>
      </c>
      <c r="C22" s="6" t="s">
        <v>52</v>
      </c>
      <c r="D22" s="5" t="n">
        <v>1</v>
      </c>
      <c r="E22" s="9" t="n">
        <v>11.55</v>
      </c>
      <c r="F22" s="8" t="n">
        <f aca="false">D22*E22</f>
        <v>11.55</v>
      </c>
      <c r="G22" s="6" t="s">
        <v>53</v>
      </c>
      <c r="H22" s="5" t="s">
        <v>54</v>
      </c>
    </row>
    <row r="23" customFormat="false" ht="15" hidden="false" customHeight="false" outlineLevel="0" collapsed="false">
      <c r="A23" s="5" t="n">
        <v>12</v>
      </c>
      <c r="B23" s="6" t="s">
        <v>55</v>
      </c>
      <c r="C23" s="6" t="s">
        <v>56</v>
      </c>
      <c r="D23" s="5" t="n">
        <v>1</v>
      </c>
      <c r="E23" s="9" t="n">
        <v>18.92</v>
      </c>
      <c r="F23" s="8" t="n">
        <f aca="false">D23*E23</f>
        <v>18.92</v>
      </c>
      <c r="G23" s="6" t="s">
        <v>57</v>
      </c>
      <c r="H23" s="5" t="s">
        <v>54</v>
      </c>
    </row>
    <row r="24" customFormat="false" ht="15" hidden="false" customHeight="false" outlineLevel="0" collapsed="false">
      <c r="A24" s="5" t="n">
        <v>13</v>
      </c>
      <c r="B24" s="6" t="s">
        <v>58</v>
      </c>
      <c r="C24" s="6" t="s">
        <v>59</v>
      </c>
      <c r="D24" s="5" t="n">
        <v>6</v>
      </c>
      <c r="E24" s="9" t="n">
        <v>7.58</v>
      </c>
      <c r="F24" s="8" t="n">
        <f aca="false">D24*E24</f>
        <v>45.48</v>
      </c>
      <c r="G24" s="6" t="s">
        <v>17</v>
      </c>
      <c r="H24" s="5" t="s">
        <v>60</v>
      </c>
    </row>
    <row r="25" customFormat="false" ht="15" hidden="false" customHeight="false" outlineLevel="0" collapsed="false">
      <c r="A25" s="5" t="n">
        <v>14</v>
      </c>
      <c r="B25" s="6" t="s">
        <v>61</v>
      </c>
      <c r="C25" s="6" t="s">
        <v>62</v>
      </c>
      <c r="D25" s="5" t="n">
        <v>1</v>
      </c>
      <c r="E25" s="7" t="s">
        <v>13</v>
      </c>
      <c r="F25" s="8" t="n">
        <v>0</v>
      </c>
      <c r="G25" s="6" t="s">
        <v>63</v>
      </c>
      <c r="H25" s="5" t="s">
        <v>60</v>
      </c>
    </row>
    <row r="26" customFormat="false" ht="15" hidden="false" customHeight="false" outlineLevel="0" collapsed="false">
      <c r="A26" s="5" t="n">
        <v>15</v>
      </c>
      <c r="B26" s="6" t="s">
        <v>64</v>
      </c>
      <c r="C26" s="6" t="s">
        <v>65</v>
      </c>
      <c r="D26" s="5" t="n">
        <v>4</v>
      </c>
      <c r="E26" s="9" t="n">
        <v>3.68</v>
      </c>
      <c r="F26" s="8" t="n">
        <f aca="false">D26*E26</f>
        <v>14.72</v>
      </c>
      <c r="G26" s="6" t="s">
        <v>66</v>
      </c>
      <c r="H26" s="5" t="s">
        <v>31</v>
      </c>
    </row>
    <row r="27" customFormat="false" ht="15" hidden="false" customHeight="false" outlineLevel="0" collapsed="false">
      <c r="A27" s="5" t="n">
        <v>16</v>
      </c>
      <c r="B27" s="6" t="s">
        <v>67</v>
      </c>
      <c r="C27" s="6" t="s">
        <v>68</v>
      </c>
      <c r="D27" s="5" t="n">
        <v>6</v>
      </c>
      <c r="E27" s="9" t="n">
        <v>8.01</v>
      </c>
      <c r="F27" s="8" t="n">
        <f aca="false">D27*E27</f>
        <v>48.06</v>
      </c>
      <c r="G27" s="6" t="s">
        <v>25</v>
      </c>
      <c r="H27" s="5" t="s">
        <v>22</v>
      </c>
    </row>
    <row r="28" customFormat="false" ht="15" hidden="false" customHeight="false" outlineLevel="0" collapsed="false">
      <c r="A28" s="5" t="n">
        <v>17</v>
      </c>
      <c r="B28" s="6" t="s">
        <v>69</v>
      </c>
      <c r="C28" s="6" t="s">
        <v>70</v>
      </c>
      <c r="D28" s="5" t="n">
        <v>1</v>
      </c>
      <c r="E28" s="7" t="s">
        <v>13</v>
      </c>
      <c r="F28" s="8" t="n">
        <v>0</v>
      </c>
      <c r="G28" s="6" t="s">
        <v>71</v>
      </c>
      <c r="H28" s="5"/>
    </row>
    <row r="29" customFormat="false" ht="15" hidden="false" customHeight="false" outlineLevel="0" collapsed="false">
      <c r="A29" s="5" t="n">
        <v>18</v>
      </c>
      <c r="B29" s="6" t="s">
        <v>72</v>
      </c>
      <c r="C29" s="6" t="s">
        <v>73</v>
      </c>
      <c r="D29" s="5" t="n">
        <v>1</v>
      </c>
      <c r="E29" s="9" t="n">
        <v>8.01</v>
      </c>
      <c r="F29" s="8" t="n">
        <f aca="false">D29*E29</f>
        <v>8.01</v>
      </c>
      <c r="G29" s="6" t="s">
        <v>25</v>
      </c>
      <c r="H29" s="5" t="s">
        <v>22</v>
      </c>
    </row>
    <row r="30" customFormat="false" ht="15" hidden="false" customHeight="false" outlineLevel="0" collapsed="false">
      <c r="A30" s="5" t="n">
        <v>19</v>
      </c>
      <c r="B30" s="6" t="s">
        <v>74</v>
      </c>
      <c r="C30" s="6" t="s">
        <v>75</v>
      </c>
      <c r="D30" s="5" t="n">
        <v>1</v>
      </c>
      <c r="E30" s="7" t="s">
        <v>13</v>
      </c>
      <c r="F30" s="8" t="n">
        <v>0</v>
      </c>
      <c r="G30" s="6" t="s">
        <v>76</v>
      </c>
      <c r="H30" s="5"/>
    </row>
    <row r="31" customFormat="false" ht="15" hidden="false" customHeight="false" outlineLevel="0" collapsed="false">
      <c r="A31" s="5" t="n">
        <v>20</v>
      </c>
      <c r="B31" s="6" t="s">
        <v>77</v>
      </c>
      <c r="C31" s="6" t="s">
        <v>75</v>
      </c>
      <c r="D31" s="5" t="n">
        <v>1</v>
      </c>
      <c r="E31" s="7" t="s">
        <v>13</v>
      </c>
      <c r="F31" s="8" t="n">
        <v>0</v>
      </c>
      <c r="G31" s="6" t="s">
        <v>76</v>
      </c>
      <c r="H31" s="5"/>
    </row>
    <row r="32" customFormat="false" ht="15" hidden="false" customHeight="false" outlineLevel="0" collapsed="false">
      <c r="A32" s="5" t="n">
        <v>21</v>
      </c>
      <c r="B32" s="6" t="s">
        <v>78</v>
      </c>
      <c r="C32" s="6" t="s">
        <v>75</v>
      </c>
      <c r="D32" s="5" t="n">
        <v>1</v>
      </c>
      <c r="E32" s="7" t="s">
        <v>13</v>
      </c>
      <c r="F32" s="8" t="n">
        <v>0</v>
      </c>
      <c r="G32" s="6" t="s">
        <v>76</v>
      </c>
      <c r="H32" s="5"/>
    </row>
    <row r="33" customFormat="false" ht="15" hidden="false" customHeight="false" outlineLevel="0" collapsed="false">
      <c r="A33" s="5" t="n">
        <v>22</v>
      </c>
      <c r="B33" s="6" t="s">
        <v>79</v>
      </c>
      <c r="C33" s="6" t="s">
        <v>80</v>
      </c>
      <c r="D33" s="5" t="n">
        <v>1</v>
      </c>
      <c r="E33" s="7" t="s">
        <v>13</v>
      </c>
      <c r="F33" s="8" t="n">
        <v>0</v>
      </c>
      <c r="G33" s="6" t="s">
        <v>76</v>
      </c>
      <c r="H33" s="5"/>
    </row>
    <row r="34" customFormat="false" ht="15" hidden="false" customHeight="false" outlineLevel="0" collapsed="false">
      <c r="A34" s="5" t="n">
        <v>23</v>
      </c>
      <c r="B34" s="6" t="s">
        <v>81</v>
      </c>
      <c r="C34" s="6" t="s">
        <v>82</v>
      </c>
      <c r="D34" s="5" t="n">
        <v>1</v>
      </c>
      <c r="E34" s="7" t="s">
        <v>13</v>
      </c>
      <c r="F34" s="8" t="n">
        <v>0</v>
      </c>
      <c r="G34" s="6" t="s">
        <v>76</v>
      </c>
      <c r="H34" s="5"/>
    </row>
    <row r="35" customFormat="false" ht="15" hidden="false" customHeight="false" outlineLevel="0" collapsed="false">
      <c r="A35" s="5" t="n">
        <v>24</v>
      </c>
      <c r="B35" s="6" t="s">
        <v>83</v>
      </c>
      <c r="C35" s="6" t="s">
        <v>84</v>
      </c>
      <c r="D35" s="5" t="n">
        <v>1</v>
      </c>
      <c r="E35" s="7" t="s">
        <v>13</v>
      </c>
      <c r="F35" s="8" t="n">
        <v>0</v>
      </c>
      <c r="G35" s="6" t="s">
        <v>76</v>
      </c>
      <c r="H35" s="5"/>
    </row>
    <row r="36" customFormat="false" ht="15" hidden="false" customHeight="false" outlineLevel="0" collapsed="false">
      <c r="A36" s="10" t="s">
        <v>85</v>
      </c>
      <c r="B36" s="10"/>
      <c r="C36" s="10"/>
      <c r="D36" s="10"/>
      <c r="E36" s="10"/>
      <c r="F36" s="11" t="n">
        <f aca="false">SUM(F21:F35)</f>
        <v>146.74</v>
      </c>
      <c r="G36" s="12"/>
      <c r="H36" s="12"/>
    </row>
    <row r="38" customFormat="false" ht="15" hidden="false" customHeight="true" outlineLevel="0" collapsed="false">
      <c r="A38" s="15" t="s">
        <v>86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false" outlineLevel="0" collapsed="false">
      <c r="A39" s="5" t="n">
        <v>25</v>
      </c>
      <c r="B39" s="6" t="s">
        <v>87</v>
      </c>
      <c r="C39" s="6" t="s">
        <v>88</v>
      </c>
      <c r="D39" s="5" t="n">
        <v>1</v>
      </c>
      <c r="E39" s="9" t="n">
        <v>14.69</v>
      </c>
      <c r="F39" s="8" t="n">
        <f aca="false">D39*E39</f>
        <v>14.69</v>
      </c>
      <c r="G39" s="6" t="s">
        <v>89</v>
      </c>
      <c r="H39" s="5" t="s">
        <v>60</v>
      </c>
    </row>
    <row r="40" customFormat="false" ht="15" hidden="false" customHeight="false" outlineLevel="0" collapsed="false">
      <c r="A40" s="10" t="s">
        <v>90</v>
      </c>
      <c r="B40" s="10"/>
      <c r="C40" s="10"/>
      <c r="D40" s="10"/>
      <c r="E40" s="10"/>
      <c r="F40" s="11" t="n">
        <f aca="false">SUM(F39:F39)</f>
        <v>14.69</v>
      </c>
      <c r="G40" s="12"/>
      <c r="H40" s="12"/>
    </row>
    <row r="42" customFormat="false" ht="15" hidden="false" customHeight="true" outlineLevel="0" collapsed="false">
      <c r="A42" s="16" t="s">
        <v>91</v>
      </c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A43" s="5" t="n">
        <v>26</v>
      </c>
      <c r="B43" s="6" t="s">
        <v>92</v>
      </c>
      <c r="C43" s="6" t="s">
        <v>93</v>
      </c>
      <c r="D43" s="5" t="n">
        <v>1</v>
      </c>
      <c r="E43" s="7" t="s">
        <v>13</v>
      </c>
      <c r="F43" s="8" t="n">
        <v>0</v>
      </c>
      <c r="G43" s="6" t="s">
        <v>94</v>
      </c>
      <c r="H43" s="5"/>
    </row>
    <row r="44" customFormat="false" ht="15" hidden="false" customHeight="false" outlineLevel="0" collapsed="false">
      <c r="A44" s="5" t="n">
        <v>27</v>
      </c>
      <c r="B44" s="6" t="s">
        <v>95</v>
      </c>
      <c r="C44" s="6" t="s">
        <v>96</v>
      </c>
      <c r="D44" s="5" t="n">
        <v>1</v>
      </c>
      <c r="E44" s="7" t="s">
        <v>13</v>
      </c>
      <c r="F44" s="8" t="n">
        <v>0</v>
      </c>
      <c r="G44" s="6" t="s">
        <v>94</v>
      </c>
      <c r="H44" s="5"/>
    </row>
    <row r="45" customFormat="false" ht="15" hidden="false" customHeight="false" outlineLevel="0" collapsed="false">
      <c r="A45" s="5" t="n">
        <v>28</v>
      </c>
      <c r="B45" s="6" t="s">
        <v>97</v>
      </c>
      <c r="C45" s="6" t="s">
        <v>98</v>
      </c>
      <c r="D45" s="5" t="n">
        <v>1</v>
      </c>
      <c r="E45" s="7" t="s">
        <v>13</v>
      </c>
      <c r="F45" s="8" t="n">
        <v>0</v>
      </c>
      <c r="G45" s="6" t="s">
        <v>94</v>
      </c>
      <c r="H45" s="5"/>
    </row>
    <row r="46" customFormat="false" ht="15" hidden="false" customHeight="false" outlineLevel="0" collapsed="false">
      <c r="A46" s="5" t="n">
        <v>29</v>
      </c>
      <c r="B46" s="6" t="s">
        <v>99</v>
      </c>
      <c r="C46" s="6" t="s">
        <v>100</v>
      </c>
      <c r="D46" s="5" t="n">
        <v>1</v>
      </c>
      <c r="E46" s="7" t="s">
        <v>13</v>
      </c>
      <c r="F46" s="8" t="n">
        <v>0</v>
      </c>
      <c r="G46" s="6" t="s">
        <v>94</v>
      </c>
      <c r="H46" s="5"/>
    </row>
    <row r="47" customFormat="false" ht="15" hidden="false" customHeight="false" outlineLevel="0" collapsed="false">
      <c r="A47" s="5" t="n">
        <v>30</v>
      </c>
      <c r="B47" s="6" t="s">
        <v>101</v>
      </c>
      <c r="C47" s="6" t="s">
        <v>102</v>
      </c>
      <c r="D47" s="5" t="n">
        <v>1</v>
      </c>
      <c r="E47" s="7" t="s">
        <v>13</v>
      </c>
      <c r="F47" s="8" t="n">
        <v>0</v>
      </c>
      <c r="G47" s="6" t="s">
        <v>94</v>
      </c>
      <c r="H47" s="5"/>
    </row>
    <row r="48" customFormat="false" ht="15" hidden="false" customHeight="false" outlineLevel="0" collapsed="false">
      <c r="A48" s="10" t="s">
        <v>103</v>
      </c>
      <c r="B48" s="10"/>
      <c r="C48" s="10"/>
      <c r="D48" s="10"/>
      <c r="E48" s="10"/>
      <c r="F48" s="11" t="n">
        <f aca="false">SUM(F43:F47)</f>
        <v>0</v>
      </c>
      <c r="G48" s="12"/>
      <c r="H48" s="12"/>
    </row>
    <row r="50" customFormat="false" ht="15" hidden="false" customHeight="true" outlineLevel="0" collapsed="false">
      <c r="A50" s="17" t="s">
        <v>104</v>
      </c>
      <c r="B50" s="17"/>
      <c r="C50" s="17"/>
      <c r="D50" s="17"/>
      <c r="E50" s="17"/>
      <c r="F50" s="17"/>
      <c r="G50" s="17"/>
      <c r="H50" s="17"/>
    </row>
    <row r="51" customFormat="false" ht="15" hidden="false" customHeight="false" outlineLevel="0" collapsed="false">
      <c r="A51" s="5" t="n">
        <v>31</v>
      </c>
      <c r="B51" s="6" t="s">
        <v>105</v>
      </c>
      <c r="C51" s="6" t="s">
        <v>106</v>
      </c>
      <c r="D51" s="5" t="n">
        <v>1</v>
      </c>
      <c r="E51" s="7" t="s">
        <v>13</v>
      </c>
      <c r="F51" s="8" t="n">
        <v>0</v>
      </c>
      <c r="G51" s="6" t="s">
        <v>107</v>
      </c>
      <c r="H51" s="5"/>
    </row>
    <row r="52" customFormat="false" ht="15" hidden="false" customHeight="false" outlineLevel="0" collapsed="false">
      <c r="A52" s="10" t="s">
        <v>108</v>
      </c>
      <c r="B52" s="10"/>
      <c r="C52" s="10"/>
      <c r="D52" s="10"/>
      <c r="E52" s="10"/>
      <c r="F52" s="11" t="n">
        <f aca="false">SUM(F51:F51)</f>
        <v>0</v>
      </c>
      <c r="G52" s="12"/>
      <c r="H52" s="12"/>
    </row>
    <row r="54" customFormat="false" ht="15" hidden="false" customHeight="true" outlineLevel="0" collapsed="false">
      <c r="A54" s="18" t="s">
        <v>109</v>
      </c>
      <c r="B54" s="18"/>
      <c r="C54" s="18"/>
      <c r="D54" s="18"/>
      <c r="E54" s="18"/>
      <c r="F54" s="18"/>
      <c r="G54" s="18"/>
      <c r="H54" s="18"/>
    </row>
    <row r="55" customFormat="false" ht="15" hidden="false" customHeight="false" outlineLevel="0" collapsed="false">
      <c r="A55" s="5" t="n">
        <v>32</v>
      </c>
      <c r="B55" s="6" t="s">
        <v>110</v>
      </c>
      <c r="C55" s="6" t="s">
        <v>111</v>
      </c>
      <c r="D55" s="5" t="n">
        <v>2</v>
      </c>
      <c r="E55" s="9" t="n">
        <v>21.1</v>
      </c>
      <c r="F55" s="8" t="n">
        <f aca="false">D55*E55</f>
        <v>42.2</v>
      </c>
      <c r="G55" s="6" t="s">
        <v>25</v>
      </c>
      <c r="H55" s="5" t="s">
        <v>112</v>
      </c>
    </row>
    <row r="56" customFormat="false" ht="15" hidden="false" customHeight="false" outlineLevel="0" collapsed="false">
      <c r="A56" s="5" t="n">
        <v>33</v>
      </c>
      <c r="B56" s="6" t="s">
        <v>113</v>
      </c>
      <c r="C56" s="6" t="s">
        <v>114</v>
      </c>
      <c r="D56" s="5" t="n">
        <v>2</v>
      </c>
      <c r="E56" s="9" t="n">
        <v>21.1</v>
      </c>
      <c r="F56" s="8" t="n">
        <f aca="false">D56*E56</f>
        <v>42.2</v>
      </c>
      <c r="G56" s="6" t="s">
        <v>25</v>
      </c>
      <c r="H56" s="5" t="s">
        <v>112</v>
      </c>
    </row>
    <row r="57" customFormat="false" ht="15" hidden="false" customHeight="false" outlineLevel="0" collapsed="false">
      <c r="A57" s="10" t="s">
        <v>115</v>
      </c>
      <c r="B57" s="10"/>
      <c r="C57" s="10"/>
      <c r="D57" s="10"/>
      <c r="E57" s="10"/>
      <c r="F57" s="11" t="n">
        <f aca="false">SUM(F55:F56)</f>
        <v>84.4</v>
      </c>
      <c r="G57" s="12"/>
      <c r="H57" s="12"/>
    </row>
    <row r="59" customFormat="false" ht="15" hidden="false" customHeight="false" outlineLevel="0" collapsed="false">
      <c r="A59" s="19" t="s">
        <v>116</v>
      </c>
      <c r="B59" s="19"/>
      <c r="C59" s="19"/>
      <c r="D59" s="19"/>
      <c r="E59" s="19"/>
      <c r="F59" s="20" t="n">
        <f aca="false">F9+F17+F35+F39+F47+F51+F56</f>
        <v>69.55</v>
      </c>
      <c r="G59" s="21"/>
      <c r="H59" s="21"/>
    </row>
    <row r="61" customFormat="false" ht="15" hidden="false" customHeight="false" outlineLevel="0" collapsed="false">
      <c r="A61" s="22" t="s">
        <v>117</v>
      </c>
      <c r="B61" s="22"/>
      <c r="C61" s="22"/>
      <c r="D61" s="22"/>
      <c r="E61" s="22"/>
      <c r="F61" s="22"/>
      <c r="G61" s="22"/>
      <c r="H61" s="22"/>
    </row>
    <row r="62" customFormat="false" ht="15" hidden="false" customHeight="false" outlineLevel="0" collapsed="false">
      <c r="A62" s="23" t="s">
        <v>118</v>
      </c>
      <c r="B62" s="23"/>
      <c r="C62" s="23"/>
      <c r="D62" s="23"/>
      <c r="E62" s="23"/>
      <c r="F62" s="23"/>
      <c r="G62" s="23"/>
      <c r="H62" s="23"/>
    </row>
    <row r="63" customFormat="false" ht="15" hidden="false" customHeight="false" outlineLevel="0" collapsed="false">
      <c r="A63" s="23" t="s">
        <v>119</v>
      </c>
      <c r="B63" s="23"/>
      <c r="C63" s="23"/>
      <c r="D63" s="23"/>
      <c r="E63" s="23"/>
      <c r="F63" s="23"/>
      <c r="G63" s="23"/>
      <c r="H63" s="23"/>
    </row>
    <row r="64" customFormat="false" ht="15" hidden="false" customHeight="false" outlineLevel="0" collapsed="false">
      <c r="A64" s="23" t="s">
        <v>120</v>
      </c>
      <c r="B64" s="23"/>
      <c r="C64" s="23"/>
      <c r="D64" s="23"/>
      <c r="E64" s="23"/>
      <c r="F64" s="23"/>
      <c r="G64" s="23"/>
      <c r="H64" s="23"/>
    </row>
    <row r="65" customFormat="false" ht="15" hidden="false" customHeight="false" outlineLevel="0" collapsed="false">
      <c r="A65" s="23" t="s">
        <v>121</v>
      </c>
      <c r="B65" s="23"/>
      <c r="C65" s="23"/>
      <c r="D65" s="23"/>
      <c r="E65" s="23"/>
      <c r="F65" s="23"/>
      <c r="G65" s="23"/>
      <c r="H65" s="23"/>
    </row>
    <row r="66" customFormat="false" ht="15" hidden="false" customHeight="false" outlineLevel="0" collapsed="false">
      <c r="A66" s="23" t="s">
        <v>122</v>
      </c>
      <c r="B66" s="23"/>
      <c r="C66" s="23"/>
      <c r="D66" s="23"/>
      <c r="E66" s="23"/>
      <c r="F66" s="23"/>
      <c r="G66" s="23"/>
      <c r="H66" s="23"/>
    </row>
    <row r="67" customFormat="false" ht="15" hidden="false" customHeight="false" outlineLevel="0" collapsed="false">
      <c r="A67" s="23" t="s">
        <v>123</v>
      </c>
      <c r="B67" s="23"/>
      <c r="C67" s="23"/>
      <c r="D67" s="23"/>
      <c r="E67" s="23"/>
      <c r="F67" s="23"/>
      <c r="G67" s="23"/>
      <c r="H67" s="23"/>
    </row>
    <row r="68" customFormat="false" ht="15" hidden="false" customHeight="false" outlineLevel="0" collapsed="false">
      <c r="A68" s="23" t="s">
        <v>124</v>
      </c>
      <c r="B68" s="23"/>
      <c r="C68" s="23"/>
      <c r="D68" s="23"/>
      <c r="E68" s="23"/>
      <c r="F68" s="23"/>
      <c r="G68" s="23"/>
      <c r="H68" s="23"/>
    </row>
    <row r="69" customFormat="false" ht="15" hidden="false" customHeight="false" outlineLevel="0" collapsed="false">
      <c r="A69" s="23" t="s">
        <v>125</v>
      </c>
      <c r="B69" s="23"/>
      <c r="C69" s="23"/>
      <c r="D69" s="23"/>
      <c r="E69" s="23"/>
      <c r="F69" s="23"/>
      <c r="G69" s="23"/>
      <c r="H69" s="23"/>
    </row>
    <row r="70" customFormat="false" ht="15" hidden="false" customHeight="false" outlineLevel="0" collapsed="false">
      <c r="A70" s="23" t="s">
        <v>126</v>
      </c>
      <c r="B70" s="23"/>
      <c r="C70" s="23"/>
      <c r="D70" s="23"/>
      <c r="E70" s="23"/>
      <c r="F70" s="23"/>
      <c r="G70" s="23"/>
      <c r="H70" s="23"/>
    </row>
  </sheetData>
  <mergeCells count="27">
    <mergeCell ref="A1:H1"/>
    <mergeCell ref="A2:H2"/>
    <mergeCell ref="A5:H5"/>
    <mergeCell ref="A10:E10"/>
    <mergeCell ref="A12:H12"/>
    <mergeCell ref="A18:E18"/>
    <mergeCell ref="A20:H20"/>
    <mergeCell ref="A36:E36"/>
    <mergeCell ref="A38:H38"/>
    <mergeCell ref="A40:E40"/>
    <mergeCell ref="A42:H42"/>
    <mergeCell ref="A48:E48"/>
    <mergeCell ref="A50:H50"/>
    <mergeCell ref="A52:E52"/>
    <mergeCell ref="A54:H54"/>
    <mergeCell ref="A57:E57"/>
    <mergeCell ref="A59:E59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2026-06-21T14:36:56Z</dcterms:created>
  <dc:creator>openpyxl</dc:creator>
  <dc:description/>
  <dc:language>en-US</dc:language>
  <cp:lastModifiedBy/>
  <dcterms:modified xsi:type="dcterms:W3CDTF">2026-06-21T14:36:56Z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